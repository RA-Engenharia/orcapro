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" sheetId="1" state="visible" r:id="rId1"/>
    <sheet name="Memória de cálc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3B5E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B5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8" customWidth="1" min="3" max="3"/>
    <col width="9" customWidth="1" min="4" max="4"/>
    <col width="16" customWidth="1" min="5" max="5"/>
    <col width="16" customWidth="1" min="6" max="6"/>
    <col width="34" customWidth="1" min="7" max="7"/>
  </cols>
  <sheetData>
    <row r="1">
      <c r="A1" s="1" t="inlineStr">
        <is>
          <t>RA Engenharia Especial LTDA — Proposta PC-2026-0902-01</t>
        </is>
      </c>
    </row>
    <row r="2">
      <c r="A2" t="inlineStr">
        <is>
          <t>Cliente: MY Engenharia</t>
        </is>
      </c>
    </row>
    <row r="3">
      <c r="A3" t="inlineStr">
        <is>
          <t>Objeto: prestação de mão de obra de pedreiro e ajudante</t>
        </is>
      </c>
    </row>
    <row r="4">
      <c r="A4" t="inlineStr">
        <is>
          <t>Data: 02/09/2026 · validade 15 dias · referência SINAPI-MG 06/2026</t>
        </is>
      </c>
    </row>
    <row r="6">
      <c r="A6" s="2" t="inlineStr">
        <is>
          <t>Item</t>
        </is>
      </c>
      <c r="B6" s="2" t="inlineStr">
        <is>
          <t>Serviço</t>
        </is>
      </c>
      <c r="C6" s="2" t="inlineStr">
        <is>
          <t>Un.</t>
        </is>
      </c>
      <c r="D6" s="2" t="inlineStr">
        <is>
          <t>Qtd.</t>
        </is>
      </c>
      <c r="E6" s="2" t="inlineStr">
        <is>
          <t>Preço unit. (R$)</t>
        </is>
      </c>
      <c r="F6" s="2" t="inlineStr">
        <is>
          <t>Total (R$)</t>
        </is>
      </c>
      <c r="G6" s="2" t="inlineStr">
        <is>
          <t>Referência</t>
        </is>
      </c>
    </row>
    <row r="7">
      <c r="A7" s="3" t="inlineStr">
        <is>
          <t>1</t>
        </is>
      </c>
      <c r="B7" s="4" t="inlineStr">
        <is>
          <t>Execução de alvenaria em bloco de concreto frisado (aparente) 14×19×39 cm, 4 fiadas sendo a última em canaleta, blocos fornecidos pela contratante: assentamento com argamassa, prumo, nível, amarração e juntas frisadas</t>
        </is>
      </c>
      <c r="C7" s="3" t="inlineStr">
        <is>
          <t>m²</t>
        </is>
      </c>
      <c r="D7" s="3" t="n">
        <v>35</v>
      </c>
      <c r="E7" s="5" t="n">
        <v>45</v>
      </c>
      <c r="F7" s="5">
        <f>D7*E7</f>
        <v/>
      </c>
      <c r="G7" s="3" t="inlineStr">
        <is>
          <t>Valor negociado (ref. SINAPI 103339)</t>
        </is>
      </c>
    </row>
    <row r="8">
      <c r="A8" s="3" t="inlineStr">
        <is>
          <t>2</t>
        </is>
      </c>
      <c r="B8" s="4" t="inlineStr">
        <is>
          <t>Enchimento de graute nas canaletas da última fiada (32 m) e nos pilares/células verticais a cada 3 m, com armação simples, limpeza das células e adensamento (graute e aço pela contratante)</t>
        </is>
      </c>
      <c r="C8" s="3" t="inlineStr">
        <is>
          <t>m²</t>
        </is>
      </c>
      <c r="D8" s="3" t="n">
        <v>35</v>
      </c>
      <c r="E8" s="5" t="n">
        <v>20</v>
      </c>
      <c r="F8" s="5">
        <f>D8*E8</f>
        <v/>
      </c>
      <c r="G8" s="3" t="inlineStr">
        <is>
          <t>Valor negociado (ref. SINAPI 105033 + 105792)</t>
        </is>
      </c>
    </row>
    <row r="9">
      <c r="A9" s="3" t="inlineStr">
        <is>
          <t>3</t>
        </is>
      </c>
      <c r="B9" s="4" t="inlineStr">
        <is>
          <t>Escavação manual de vala (aprox. 30 m lineares, seção adotada 0,40 × 0,60 m = 7,20 m³), com material depositado ao lado (quantidade estimada)</t>
        </is>
      </c>
      <c r="C9" s="3" t="inlineStr">
        <is>
          <t>m³</t>
        </is>
      </c>
      <c r="D9" s="3" t="n">
        <v>7.2</v>
      </c>
      <c r="E9" s="5" t="n">
        <v>125.98</v>
      </c>
      <c r="F9" s="5">
        <f>D9*E9</f>
        <v/>
      </c>
      <c r="G9" s="3" t="inlineStr">
        <is>
          <t>SINAPI 93358</t>
        </is>
      </c>
    </row>
    <row r="10">
      <c r="A10" s="3" t="inlineStr">
        <is>
          <t>4</t>
        </is>
      </c>
      <c r="B10" s="4" t="inlineStr">
        <is>
          <t>Carga manual de entulho nas 2 caçambas estacionárias (5 m³ cada): 1 diária de equipe com 3 ajudantes</t>
        </is>
      </c>
      <c r="C10" s="3" t="inlineStr">
        <is>
          <t>diária de ajudante</t>
        </is>
      </c>
      <c r="D10" s="3" t="n">
        <v>3</v>
      </c>
      <c r="E10" s="5" t="n">
        <v>200</v>
      </c>
      <c r="F10" s="5">
        <f>D10*E10</f>
        <v/>
      </c>
      <c r="G10" s="3" t="inlineStr">
        <is>
          <t>Valor negociado (diária de ajudante)</t>
        </is>
      </c>
    </row>
    <row r="11">
      <c r="A11" s="3" t="inlineStr">
        <is>
          <t>5</t>
        </is>
      </c>
      <c r="B11" s="4" t="inlineStr">
        <is>
          <t>Recondicionamento da base com areia e brita (lastro granular, e ≈ 10 cm) e recomposição do piso cimentado (traço 1:5, e = 2 cm) na área hoje cimentada (quantidade estimada)</t>
        </is>
      </c>
      <c r="C11" s="3" t="inlineStr">
        <is>
          <t>m²</t>
        </is>
      </c>
      <c r="D11" s="3" t="n">
        <v>20</v>
      </c>
      <c r="E11" s="5" t="n">
        <v>36.81</v>
      </c>
      <c r="F11" s="5">
        <f>D11*E11</f>
        <v/>
      </c>
      <c r="G11" s="3" t="inlineStr">
        <is>
          <t>SINAPI 100324 + 98679</t>
        </is>
      </c>
    </row>
    <row r="12">
      <c r="A12" s="3" t="inlineStr">
        <is>
          <t>6</t>
        </is>
      </c>
      <c r="B12" s="4" t="inlineStr">
        <is>
          <t>Retirada dos montes de terra e grama depositados sobre o gramado do campo, com carga manual e acondicionamento em caçamba/local indicado (quantidade estimada)</t>
        </is>
      </c>
      <c r="C12" s="3" t="inlineStr">
        <is>
          <t>m³</t>
        </is>
      </c>
      <c r="D12" s="3" t="n">
        <v>6</v>
      </c>
      <c r="E12" s="5" t="n">
        <v>108.83</v>
      </c>
      <c r="F12" s="5">
        <f>D12*E12</f>
        <v/>
      </c>
      <c r="G12" s="3" t="inlineStr">
        <is>
          <t>SINAPI 106122 (por analogia)</t>
        </is>
      </c>
    </row>
    <row r="13">
      <c r="A13" s="3" t="inlineStr">
        <is>
          <t>7</t>
        </is>
      </c>
      <c r="B13" s="4" t="inlineStr">
        <is>
          <t>Recomposição de calçada em concreto moldado in loco (≈ 10 m², e = 6 cm, acabamento convencional), incluindo demolição manual do trecho danificado</t>
        </is>
      </c>
      <c r="C13" s="3" t="inlineStr">
        <is>
          <t>m²</t>
        </is>
      </c>
      <c r="D13" s="3" t="n">
        <v>10</v>
      </c>
      <c r="E13" s="5" t="n">
        <v>47.14</v>
      </c>
      <c r="F13" s="5">
        <f>D13*E13</f>
        <v/>
      </c>
      <c r="G13" s="3" t="inlineStr">
        <is>
          <t>SINAPI 104789 + 94992</t>
        </is>
      </c>
    </row>
    <row r="14">
      <c r="A14" t="inlineStr"/>
      <c r="B14" s="6" t="inlineStr">
        <is>
          <t>Subtotal</t>
        </is>
      </c>
      <c r="C14" t="inlineStr"/>
      <c r="D14" t="inlineStr"/>
      <c r="E14" t="inlineStr"/>
      <c r="F14" s="7">
        <f>SUM(F7:F13)</f>
        <v/>
      </c>
    </row>
    <row r="15">
      <c r="A15" t="inlineStr"/>
      <c r="B15" t="inlineStr">
        <is>
          <t>Desconto comercial (abatimento do BDI)</t>
        </is>
      </c>
      <c r="C15" t="inlineStr"/>
      <c r="D15" t="inlineStr"/>
      <c r="E15" t="inlineStr"/>
      <c r="F15" s="7" t="n">
        <v>-1642.64</v>
      </c>
    </row>
    <row r="16">
      <c r="A16" s="8" t="inlineStr"/>
      <c r="B16" s="8" t="inlineStr">
        <is>
          <t>VALOR GLOBAL</t>
        </is>
      </c>
      <c r="C16" s="8" t="inlineStr"/>
      <c r="D16" s="8" t="inlineStr"/>
      <c r="E16" s="8" t="inlineStr"/>
      <c r="F16" s="9">
        <f>F14+F15</f>
        <v/>
      </c>
      <c r="G16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>
      <c r="A1" s="10" t="inlineStr">
        <is>
          <t>Item</t>
        </is>
      </c>
      <c r="B1" s="10" t="inlineStr">
        <is>
          <t>Composição de referência</t>
        </is>
      </c>
      <c r="C1" s="10" t="inlineStr">
        <is>
          <t>Un.</t>
        </is>
      </c>
      <c r="D1" s="10" t="inlineStr">
        <is>
          <t>h pedreiro</t>
        </is>
      </c>
      <c r="E1" s="10" t="inlineStr">
        <is>
          <t>h ajudante</t>
        </is>
      </c>
      <c r="F1" s="10" t="inlineStr">
        <is>
          <t>Custo MO SINAPI (R$)</t>
        </is>
      </c>
      <c r="G1" s="10" t="inlineStr">
        <is>
          <t>Preço unit. proposta (R$)</t>
        </is>
      </c>
    </row>
    <row r="2">
      <c r="A2" t="inlineStr">
        <is>
          <t>1</t>
        </is>
      </c>
      <c r="B2" t="inlineStr">
        <is>
          <t>Valor negociado (ref. SINAPI 103339)</t>
        </is>
      </c>
      <c r="C2" t="inlineStr">
        <is>
          <t>m²</t>
        </is>
      </c>
      <c r="D2" t="n">
        <v>1.3</v>
      </c>
      <c r="E2" t="n">
        <v>0.65</v>
      </c>
      <c r="F2" t="n">
        <v>62.69</v>
      </c>
      <c r="G2" t="n">
        <v>45</v>
      </c>
    </row>
    <row r="3">
      <c r="A3" t="inlineStr">
        <is>
          <t>2</t>
        </is>
      </c>
      <c r="B3" t="inlineStr">
        <is>
          <t>Valor negociado (ref. SINAPI 105033 + 105792)</t>
        </is>
      </c>
      <c r="C3" t="inlineStr">
        <is>
          <t>m²</t>
        </is>
      </c>
      <c r="D3" t="n">
        <v>0.247</v>
      </c>
      <c r="E3" t="n">
        <v>0.131</v>
      </c>
      <c r="F3" t="n">
        <v>35.25</v>
      </c>
      <c r="G3" t="n">
        <v>20</v>
      </c>
    </row>
    <row r="4">
      <c r="A4" t="inlineStr">
        <is>
          <t>3</t>
        </is>
      </c>
      <c r="B4" t="inlineStr">
        <is>
          <t>SINAPI 93358</t>
        </is>
      </c>
      <c r="C4" t="inlineStr">
        <is>
          <t>m³</t>
        </is>
      </c>
      <c r="D4" t="n">
        <v>0</v>
      </c>
      <c r="E4" t="n">
        <v>3.956</v>
      </c>
      <c r="F4" t="n">
        <v>98.42</v>
      </c>
      <c r="G4" t="n">
        <v>125.98</v>
      </c>
    </row>
    <row r="5">
      <c r="A5" t="inlineStr">
        <is>
          <t>4</t>
        </is>
      </c>
      <c r="B5" t="inlineStr">
        <is>
          <t>Valor negociado (diária de ajudante)</t>
        </is>
      </c>
      <c r="C5" t="inlineStr">
        <is>
          <t>diária de ajudante</t>
        </is>
      </c>
      <c r="D5" t="n">
        <v>0</v>
      </c>
      <c r="E5" t="n">
        <v>8</v>
      </c>
      <c r="G5" t="n">
        <v>200</v>
      </c>
    </row>
    <row r="6">
      <c r="A6" t="inlineStr">
        <is>
          <t>5</t>
        </is>
      </c>
      <c r="B6" t="inlineStr">
        <is>
          <t>SINAPI 100324 + 98679</t>
        </is>
      </c>
      <c r="C6" t="inlineStr">
        <is>
          <t>m²</t>
        </is>
      </c>
      <c r="D6" t="n">
        <v>0.537</v>
      </c>
      <c r="E6" t="n">
        <v>0.253</v>
      </c>
      <c r="F6" t="n">
        <v>28.76</v>
      </c>
      <c r="G6" t="n">
        <v>36.81</v>
      </c>
    </row>
    <row r="7">
      <c r="A7" t="inlineStr">
        <is>
          <t>6</t>
        </is>
      </c>
      <c r="B7" t="inlineStr">
        <is>
          <t>SINAPI 106122 (por analogia)</t>
        </is>
      </c>
      <c r="C7" t="inlineStr">
        <is>
          <t>m³</t>
        </is>
      </c>
      <c r="D7" t="n">
        <v>0</v>
      </c>
      <c r="E7" t="n">
        <v>3.417</v>
      </c>
      <c r="F7" t="n">
        <v>85.02</v>
      </c>
      <c r="G7" t="n">
        <v>108.83</v>
      </c>
    </row>
    <row r="8">
      <c r="A8" t="inlineStr">
        <is>
          <t>7</t>
        </is>
      </c>
      <c r="B8" t="inlineStr">
        <is>
          <t>SINAPI 104789 + 94992</t>
        </is>
      </c>
      <c r="C8" t="inlineStr">
        <is>
          <t>m²</t>
        </is>
      </c>
      <c r="D8" t="n">
        <v>0.223</v>
      </c>
      <c r="E8" t="n">
        <v>0.709</v>
      </c>
      <c r="F8" t="n">
        <v>36.83</v>
      </c>
      <c r="G8" t="n">
        <v>47.14</v>
      </c>
    </row>
    <row r="10">
      <c r="A10" t="inlineStr">
        <is>
          <t>Salário-hora com encargos: pedreiro (88309) R$ 33.62 · servente (88316) R$ 24.88 · BDI 28% · SINAPI-MG 06/2026 desonerado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2026-09-03T02:04:47Z</dcterms:created>
  <dcterms:modified xsi:type="dcterms:W3CDTF">2026-09-03T02:04:47Z</dcterms:modified>
</cp:coreProperties>
</file>